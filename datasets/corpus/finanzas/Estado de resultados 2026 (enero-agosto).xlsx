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<sst xmlns="http://schemas.openxmlformats.org/spreadsheetml/2006/main" count="24" uniqueCount="24">
  <si>
    <t>Mes</t>
  </si>
  <si>
    <t>Ingresos presupuesto</t>
  </si>
  <si>
    <t>Ingresos</t>
  </si>
  <si>
    <t>Costo de materiales</t>
  </si>
  <si>
    <t>Costo de manufactura</t>
  </si>
  <si>
    <t>Costo de ventas</t>
  </si>
  <si>
    <t>Utilidad bruta</t>
  </si>
  <si>
    <t>Margen bruto %</t>
  </si>
  <si>
    <t>Gastos de operación</t>
  </si>
  <si>
    <t>Utilidad de operación</t>
  </si>
  <si>
    <t>EBITDA</t>
  </si>
  <si>
    <t>Gastos financieros</t>
  </si>
  <si>
    <t>Utilidad antes de impuestos</t>
  </si>
  <si>
    <t>Impuestos</t>
  </si>
  <si>
    <t>Utilidad neta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</si>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</sst>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3F3F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2" borderId="0" xfId="0" applyFont="1" applyFill="1"/>
    <xf numFmtId="3" fontId="1" fillId="2" borderId="0" xfId="0" applyNumberFormat="1" applyFont="1" applyFill="1"/>
    <xf numFmtId="4" fontId="1" fillId="2" borderId="0" xfId="0" applyNumberFormat="1" applyFont="1" applyFill="1"/>
    <xf numFmtId="164" fontId="1" fillId="2" borderId="0" xfId="0" applyNumberFormat="1" applyFont="1" applyFill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style="1" customWidth="1"/>
    <col min="3" max="3" width="16" style="2" customWidth="1"/>
    <col min="4" max="4" width="18" style="2" customWidth="1"/>
    <col min="5" max="5" width="20" style="2" customWidth="1"/>
    <col min="6" max="7" width="16" style="2" customWidth="1"/>
    <col min="8" max="8" width="15" style="3" customWidth="1"/>
    <col min="9" max="9" width="18" style="2" customWidth="1"/>
    <col min="10" max="10" width="20" style="2" customWidth="1"/>
    <col min="11" max="11" width="14" style="2" customWidth="1"/>
    <col min="12" max="12" width="18" style="2" customWidth="1"/>
    <col min="13" max="13" width="24" style="2" customWidth="1"/>
    <col min="14" max="14" width="14" style="2" customWidth="1"/>
    <col min="15" max="15" width="16" style="2" customWidth="1"/>
  </cols>
  <sheetData>
    <row r="1" spans="1:15" s="4" customFormat="1" x14ac:dyDescent="0.2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x14ac:dyDescent="0.25">
      <c r="A2" t="s">
        <v>15</v>
      </c>
      <c r="B2" s="1">
        <v>2100000</v>
      </c>
      <c r="C2" s="2">
        <v>2107766.9</v>
      </c>
      <c r="D2" s="2">
        <v>653160.58</v>
      </c>
      <c r="E2" s="2">
        <v>830096</v>
      </c>
      <c r="F2" s="2">
        <v>1483256.58</v>
      </c>
      <c r="G2" s="2">
        <v>624510.32</v>
      </c>
      <c r="H2" s="3">
        <v>0.2963</v>
      </c>
      <c r="I2" s="2">
        <v>435108</v>
      </c>
      <c r="J2" s="2">
        <v>189402.32</v>
      </c>
      <c r="K2" s="2">
        <v>253402.32</v>
      </c>
      <c r="L2" s="2">
        <v>18209</v>
      </c>
      <c r="M2" s="2">
        <v>171193.32</v>
      </c>
      <c r="N2" s="2">
        <v>51358</v>
      </c>
      <c r="O2" s="2">
        <v>119835.32</v>
      </c>
    </row>
    <row r="3" spans="1:15" x14ac:dyDescent="0.25">
      <c r="A3" t="s">
        <v>16</v>
      </c>
      <c r="B3" s="1">
        <v>2200000</v>
      </c>
      <c r="C3" s="2">
        <v>2249664.05</v>
      </c>
      <c r="D3" s="2">
        <v>658975</v>
      </c>
      <c r="E3" s="2">
        <v>843402</v>
      </c>
      <c r="F3" s="2">
        <v>1502377</v>
      </c>
      <c r="G3" s="2">
        <v>747287.05</v>
      </c>
      <c r="H3" s="3">
        <v>0.3322</v>
      </c>
      <c r="I3" s="2">
        <v>426945</v>
      </c>
      <c r="J3" s="2">
        <v>320342.05</v>
      </c>
      <c r="K3" s="2">
        <v>384342.05</v>
      </c>
      <c r="L3" s="2">
        <v>19169</v>
      </c>
      <c r="M3" s="2">
        <v>301173.05</v>
      </c>
      <c r="N3" s="2">
        <v>90351.92</v>
      </c>
      <c r="O3" s="2">
        <v>210821.13</v>
      </c>
    </row>
    <row r="4" spans="1:15" x14ac:dyDescent="0.25">
      <c r="A4" t="s">
        <v>17</v>
      </c>
      <c r="B4" s="1">
        <v>2450000</v>
      </c>
      <c r="C4" s="2">
        <v>2572998.1</v>
      </c>
      <c r="D4" s="2">
        <v>796069.96</v>
      </c>
      <c r="E4" s="2">
        <v>878001</v>
      </c>
      <c r="F4" s="2">
        <v>1674070.96</v>
      </c>
      <c r="G4" s="2">
        <v>898927.14</v>
      </c>
      <c r="H4" s="3">
        <v>0.3494</v>
      </c>
      <c r="I4" s="2">
        <v>457926</v>
      </c>
      <c r="J4" s="2">
        <v>441001.14</v>
      </c>
      <c r="K4" s="2">
        <v>505001.14</v>
      </c>
      <c r="L4" s="2">
        <v>23947</v>
      </c>
      <c r="M4" s="2">
        <v>417054.14</v>
      </c>
      <c r="N4" s="2">
        <v>125116.24</v>
      </c>
      <c r="O4" s="2">
        <v>291937.9</v>
      </c>
    </row>
    <row r="5" spans="1:15" x14ac:dyDescent="0.25">
      <c r="A5" t="s">
        <v>18</v>
      </c>
      <c r="B5" s="1">
        <v>2400000</v>
      </c>
      <c r="C5" s="2">
        <v>2530237.75</v>
      </c>
      <c r="D5" s="2">
        <v>772584.04</v>
      </c>
      <c r="E5" s="2">
        <v>894045</v>
      </c>
      <c r="F5" s="2">
        <v>1666629.04</v>
      </c>
      <c r="G5" s="2">
        <v>863608.71</v>
      </c>
      <c r="H5" s="3">
        <v>0.3413</v>
      </c>
      <c r="I5" s="2">
        <v>442658</v>
      </c>
      <c r="J5" s="2">
        <v>420950.71</v>
      </c>
      <c r="K5" s="2">
        <v>484950.71</v>
      </c>
      <c r="L5" s="2">
        <v>20721</v>
      </c>
      <c r="M5" s="2">
        <v>400229.71</v>
      </c>
      <c r="N5" s="2">
        <v>120068.91</v>
      </c>
      <c r="O5" s="2">
        <v>280160.8</v>
      </c>
    </row>
    <row r="6" spans="1:15" x14ac:dyDescent="0.25">
      <c r="A6" t="s">
        <v>19</v>
      </c>
      <c r="B6" s="1">
        <v>2550000</v>
      </c>
      <c r="C6" s="2">
        <v>2731828.2</v>
      </c>
      <c r="D6" s="2">
        <v>798134.83</v>
      </c>
      <c r="E6" s="2">
        <v>934500</v>
      </c>
      <c r="F6" s="2">
        <v>1732634.83</v>
      </c>
      <c r="G6" s="2">
        <v>999193.37</v>
      </c>
      <c r="H6" s="3">
        <v>0.3658</v>
      </c>
      <c r="I6" s="2">
        <v>447892</v>
      </c>
      <c r="J6" s="2">
        <v>551301.37</v>
      </c>
      <c r="K6" s="2">
        <v>615301.37</v>
      </c>
      <c r="L6" s="2">
        <v>18850</v>
      </c>
      <c r="M6" s="2">
        <v>532451.37</v>
      </c>
      <c r="N6" s="2">
        <v>159735.41</v>
      </c>
      <c r="O6" s="2">
        <v>372715.96</v>
      </c>
    </row>
    <row r="7" spans="1:15" x14ac:dyDescent="0.25">
      <c r="A7" t="s">
        <v>20</v>
      </c>
      <c r="B7" s="1">
        <v>2600000</v>
      </c>
      <c r="C7" s="2">
        <v>2708836.4</v>
      </c>
      <c r="D7" s="2">
        <v>811582.63</v>
      </c>
      <c r="E7" s="2">
        <v>932509</v>
      </c>
      <c r="F7" s="2">
        <v>1744091.63</v>
      </c>
      <c r="G7" s="2">
        <v>964744.77</v>
      </c>
      <c r="H7" s="3">
        <v>0.3561</v>
      </c>
      <c r="I7" s="2">
        <v>466296</v>
      </c>
      <c r="J7" s="2">
        <v>498448.77</v>
      </c>
      <c r="K7" s="2">
        <v>562448.77</v>
      </c>
      <c r="L7" s="2">
        <v>19241</v>
      </c>
      <c r="M7" s="2">
        <v>479207.77</v>
      </c>
      <c r="N7" s="2">
        <v>143762.33</v>
      </c>
      <c r="O7" s="2">
        <v>335445.44</v>
      </c>
    </row>
    <row r="8" spans="1:15" x14ac:dyDescent="0.25">
      <c r="A8" t="s">
        <v>21</v>
      </c>
      <c r="B8" s="1">
        <v>2350000</v>
      </c>
      <c r="C8" s="2">
        <v>2267255</v>
      </c>
      <c r="D8" s="2">
        <v>689189.24</v>
      </c>
      <c r="E8" s="2">
        <v>864712</v>
      </c>
      <c r="F8" s="2">
        <v>1553901.24</v>
      </c>
      <c r="G8" s="2">
        <v>713353.76</v>
      </c>
      <c r="H8" s="3">
        <v>0.3146</v>
      </c>
      <c r="I8" s="2">
        <v>424753</v>
      </c>
      <c r="J8" s="2">
        <v>288600.76</v>
      </c>
      <c r="K8" s="2">
        <v>352600.76</v>
      </c>
      <c r="L8" s="2">
        <v>22863</v>
      </c>
      <c r="M8" s="2">
        <v>265737.76</v>
      </c>
      <c r="N8" s="2">
        <v>79721.33</v>
      </c>
      <c r="O8" s="2">
        <v>186016.43</v>
      </c>
    </row>
    <row r="9" spans="1:15" x14ac:dyDescent="0.25">
      <c r="A9" t="s">
        <v>22</v>
      </c>
      <c r="B9" s="1">
        <v>2300000</v>
      </c>
      <c r="C9" s="2">
        <v>2458859.3</v>
      </c>
      <c r="D9" s="2">
        <v>747169.86</v>
      </c>
      <c r="E9" s="2">
        <v>854671</v>
      </c>
      <c r="F9" s="2">
        <v>1601840.86</v>
      </c>
      <c r="G9" s="2">
        <v>857018.44</v>
      </c>
      <c r="H9" s="3">
        <v>0.3485</v>
      </c>
      <c r="I9" s="2">
        <v>433368</v>
      </c>
      <c r="J9" s="2">
        <v>423650.44</v>
      </c>
      <c r="K9" s="2">
        <v>487650.44</v>
      </c>
      <c r="L9" s="2">
        <v>23912</v>
      </c>
      <c r="M9" s="2">
        <v>399738.44</v>
      </c>
      <c r="N9" s="2">
        <v>119921.53</v>
      </c>
      <c r="O9" s="2">
        <v>279816.91</v>
      </c>
    </row>
    <row r="10" spans="1:15" s="8" customFormat="1" x14ac:dyDescent="0.25">
      <c r="A10" s="8" t="s">
        <v>23</v>
      </c>
      <c r="B10" s="9">
        <f>SUM(B2:B9)</f>
        <v>18950000</v>
      </c>
      <c r="C10" s="10">
        <f>SUM(C2:C9)</f>
        <v>19627445.7</v>
      </c>
      <c r="D10" s="10">
        <f>SUM(D2:D9)</f>
        <v>5926866.14</v>
      </c>
      <c r="E10" s="10">
        <f>SUM(E2:E9)</f>
        <v>7031936</v>
      </c>
      <c r="F10" s="10">
        <f>SUM(F2:F9)</f>
        <v>12958802.14</v>
      </c>
      <c r="G10" s="10">
        <f>SUM(G2:G9)</f>
        <v>6668643.56</v>
      </c>
      <c r="I10" s="10">
        <f>SUM(I2:I9)</f>
        <v>3534946</v>
      </c>
      <c r="J10" s="10">
        <f>SUM(J2:J9)</f>
        <v>3133697.56</v>
      </c>
      <c r="K10" s="10">
        <f>SUM(K2:K9)</f>
        <v>3645697.56</v>
      </c>
      <c r="L10" s="10">
        <f>SUM(L2:L9)</f>
        <v>166912</v>
      </c>
      <c r="M10" s="10">
        <f>SUM(M2:M9)</f>
        <v>2966785.56</v>
      </c>
      <c r="N10" s="10">
        <f>SUM(N2:N9)</f>
        <v>890035.67</v>
      </c>
      <c r="O10" s="10">
        <f>SUM(O2:O9)</f>
        <v>2076749.89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>Nexora Industrial S.A.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Nexora Industrial S.A.</dc:creator>
  <dc:title>Estado de resultados 2026 (enero-agosto)</dc:title>
  <dc:subject/>
  <dc:description/>
  <cp:keywords/>
  <cp:category/>
  <cp:lastModifiedBy>Unknown</cp:lastModifiedBy>
  <dcterms:created xsi:type="dcterms:W3CDTF">2026-09-10T09:00:00Z</dcterms:created>
  <dcterms:modified xsi:type="dcterms:W3CDTF">2026-09-10T09:00:00Z</dcterms:modified>
</cp:coreProperties>
</file>